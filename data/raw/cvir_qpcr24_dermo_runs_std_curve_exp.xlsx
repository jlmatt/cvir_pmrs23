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<sst xmlns="http://schemas.openxmlformats.org/spreadsheetml/2006/main" count="14" uniqueCount="14">
  <si>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dilution</t>
  </si>
  <si>
    <t>exp_conc</t>
  </si>
  <si>
    <t>log_10_conc</t>
  </si>
  <si>
    <t>gb_3_te</t>
  </si>
  <si>
    <t>gb_4_te</t>
  </si>
  <si>
    <t>gb_5_te</t>
  </si>
  <si>
    <t>gb_6_te</t>
  </si>
  <si>
    <t>gb_7_te</t>
  </si>
  <si>
    <t>gb_8_te</t>
  </si>
  <si>
    <t>gb_9_te</t>
  </si>
  <si>
    <t>gb_10_te</t>
  </si>
  <si>
    <t>gb_11_te</t>
  </si>
  <si>
    <t>gb_12_te</t>
  </si>
  <si>
    <t>gb_13_te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</si>
</sst>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>
        <f>((1/5)/5)/5</f>
        <v>0.008</v>
      </c>
      <c r="C2" s="4">
        <f t="shared" ref="C2:C12" si="1">log10(B2)</f>
        <v>-2.096910013</v>
      </c>
    </row>
    <row r="3">
      <c r="A3" s="3" t="s">
        <v>4</v>
      </c>
      <c r="B3" s="4">
        <f t="shared" ref="B3:B12" si="2">B2/5</f>
        <v>0.0016</v>
      </c>
      <c r="C3" s="4">
        <f t="shared" si="1"/>
        <v>-2.795880017</v>
      </c>
    </row>
    <row r="4">
      <c r="A4" s="3" t="s">
        <v>5</v>
      </c>
      <c r="B4" s="4">
        <f t="shared" si="2"/>
        <v>0.00032</v>
      </c>
      <c r="C4" s="4">
        <f t="shared" si="1"/>
        <v>-3.494850022</v>
      </c>
    </row>
    <row r="5">
      <c r="A5" s="3" t="s">
        <v>6</v>
      </c>
      <c r="B5" s="4">
        <f t="shared" si="2"/>
        <v>0.000064</v>
      </c>
      <c r="C5" s="4">
        <f t="shared" si="1"/>
        <v>-4.193820026</v>
      </c>
    </row>
    <row r="6">
      <c r="A6" s="3" t="s">
        <v>7</v>
      </c>
      <c r="B6" s="4">
        <f t="shared" si="2"/>
        <v>0.0000128</v>
      </c>
      <c r="C6" s="4">
        <f t="shared" si="1"/>
        <v>-4.89279003</v>
      </c>
    </row>
    <row r="7">
      <c r="A7" s="3" t="s">
        <v>8</v>
      </c>
      <c r="B7" s="4">
        <f t="shared" si="2"/>
        <v>0.00000256</v>
      </c>
      <c r="C7" s="4">
        <f t="shared" si="1"/>
        <v>-5.591760035</v>
      </c>
    </row>
    <row r="8">
      <c r="A8" s="3" t="s">
        <v>9</v>
      </c>
      <c r="B8" s="4">
        <f t="shared" si="2"/>
        <v>0.000000512</v>
      </c>
      <c r="C8" s="4">
        <f t="shared" si="1"/>
        <v>-6.290730039</v>
      </c>
    </row>
    <row r="9">
      <c r="A9" s="3" t="s">
        <v>10</v>
      </c>
      <c r="B9" s="4">
        <f t="shared" si="2"/>
        <v>0.0000001024</v>
      </c>
      <c r="C9" s="4">
        <f t="shared" si="1"/>
        <v>-6.989700043</v>
      </c>
    </row>
    <row r="10">
      <c r="A10" s="3" t="s">
        <v>11</v>
      </c>
      <c r="B10" s="4">
        <f t="shared" si="2"/>
        <v>0.00000002048</v>
      </c>
      <c r="C10" s="4">
        <f t="shared" si="1"/>
        <v>-7.688670048</v>
      </c>
    </row>
    <row r="11">
      <c r="A11" s="3" t="s">
        <v>12</v>
      </c>
      <c r="B11" s="4">
        <f t="shared" si="2"/>
        <v>0.000000004096</v>
      </c>
      <c r="C11" s="4">
        <f t="shared" si="1"/>
        <v>-8.387640052</v>
      </c>
    </row>
    <row r="12">
      <c r="A12" s="3" t="s">
        <v>13</v>
      </c>
      <c r="B12" s="4">
        <f t="shared" si="2"/>
        <v>0.0000000008192</v>
      </c>
      <c r="C12" s="4">
        <f t="shared" si="1"/>
        <v>-9.086610056</v>
      </c>
    </row>
  </sheetData>
  <drawing r:id="rId1"/>
</worksheet>
</file>